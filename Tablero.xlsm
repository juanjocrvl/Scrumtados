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ers\juocarva\Documents\Artículo Scrumtados\ScrumTados\"/>
    </mc:Choice>
  </mc:AlternateContent>
  <bookViews>
    <workbookView xWindow="0" yWindow="0" windowWidth="24000" windowHeight="9135"/>
  </bookViews>
  <sheets>
    <sheet name="Tablero de juego" sheetId="2" r:id="rId1"/>
    <sheet name="Resultado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" i="2" l="1"/>
  <c r="S21" i="2"/>
  <c r="V7" i="2" l="1"/>
  <c r="V8" i="2"/>
  <c r="V9" i="2"/>
  <c r="V10" i="2"/>
  <c r="V11" i="2"/>
  <c r="V12" i="2"/>
  <c r="V13" i="2"/>
  <c r="V14" i="2"/>
  <c r="V15" i="2"/>
  <c r="V16" i="2"/>
  <c r="V17" i="2"/>
  <c r="V18" i="2"/>
  <c r="V19" i="2"/>
  <c r="V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6" i="2"/>
  <c r="V4" i="2" l="1"/>
  <c r="F7" i="3" s="1"/>
  <c r="T4" i="2" l="1"/>
  <c r="C7" i="3" s="1"/>
  <c r="R4" i="2"/>
  <c r="F4" i="3" s="1"/>
  <c r="P4" i="2"/>
  <c r="C4" i="3" s="1"/>
  <c r="H6" i="2" l="1"/>
  <c r="D7" i="2"/>
  <c r="F8" i="2" l="1"/>
  <c r="H7" i="2"/>
  <c r="F6" i="2"/>
  <c r="H8" i="2"/>
  <c r="F7" i="2"/>
  <c r="G7" i="2"/>
  <c r="C7" i="2"/>
  <c r="D6" i="2"/>
  <c r="B7" i="2"/>
  <c r="B8" i="2"/>
  <c r="D8" i="2"/>
  <c r="B6" i="2"/>
</calcChain>
</file>

<file path=xl/sharedStrings.xml><?xml version="1.0" encoding="utf-8"?>
<sst xmlns="http://schemas.openxmlformats.org/spreadsheetml/2006/main" count="28" uniqueCount="13">
  <si>
    <t>ID</t>
  </si>
  <si>
    <t>Esfuerzo Requerido</t>
  </si>
  <si>
    <t>¿Terminado?</t>
  </si>
  <si>
    <t>Esfuerzo realizado</t>
  </si>
  <si>
    <t>Equipo 1</t>
  </si>
  <si>
    <t>Equipo 2</t>
  </si>
  <si>
    <t>Equipo 3</t>
  </si>
  <si>
    <t>Equipo 4</t>
  </si>
  <si>
    <t>Criterio</t>
  </si>
  <si>
    <t>Capacidad de desarrollo</t>
  </si>
  <si>
    <t>Capcidad de desarrollo</t>
  </si>
  <si>
    <t>Avance</t>
  </si>
  <si>
    <t>Tiempo: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</si>
</sst>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theme="1"/>
      <name val="Wingdings"/>
      <charset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13" fillId="0" borderId="0" xfId="0" applyFont="1"/>
    <xf numFmtId="0" fontId="13" fillId="2" borderId="1" xfId="0" applyFont="1" applyFill="1" applyBorder="1"/>
    <xf numFmtId="0" fontId="13" fillId="3" borderId="1" xfId="0" applyFont="1" applyFill="1" applyBorder="1"/>
    <xf numFmtId="0" fontId="13" fillId="5" borderId="1" xfId="0" applyFont="1" applyFill="1" applyBorder="1"/>
    <xf numFmtId="0" fontId="13" fillId="4" borderId="1" xfId="0" applyFont="1" applyFill="1" applyBorder="1"/>
    <xf numFmtId="164" fontId="13" fillId="0" borderId="9" xfId="1" applyNumberFormat="1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0" fontId="13" fillId="3" borderId="11" xfId="0" applyFont="1" applyFill="1" applyBorder="1" applyAlignment="1">
      <alignment horizontal="center"/>
    </xf>
    <xf numFmtId="0" fontId="13" fillId="5" borderId="10" xfId="0" applyFont="1" applyFill="1" applyBorder="1" applyAlignment="1">
      <alignment horizontal="center"/>
    </xf>
    <xf numFmtId="0" fontId="13" fillId="5" borderId="11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0" fillId="0" borderId="0" xfId="0" applyProtection="1"/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0" fontId="2" fillId="0" borderId="0" xfId="0" applyFont="1" applyProtection="1"/>
    <xf numFmtId="0" fontId="8" fillId="6" borderId="10" xfId="0" applyFont="1" applyFill="1" applyBorder="1" applyAlignment="1" applyProtection="1">
      <alignment horizontal="center" vertical="center"/>
    </xf>
    <xf numFmtId="0" fontId="8" fillId="6" borderId="14" xfId="0" applyFont="1" applyFill="1" applyBorder="1" applyAlignment="1" applyProtection="1">
      <alignment horizontal="center" vertical="center"/>
    </xf>
    <xf numFmtId="0" fontId="8" fillId="6" borderId="11" xfId="0" applyFont="1" applyFill="1" applyBorder="1" applyAlignment="1" applyProtection="1">
      <alignment horizontal="center" vertical="center"/>
    </xf>
    <xf numFmtId="0" fontId="8" fillId="2" borderId="10" xfId="0" applyFont="1" applyFill="1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0" fontId="8" fillId="3" borderId="10" xfId="0" applyFont="1" applyFill="1" applyBorder="1" applyAlignment="1" applyProtection="1">
      <alignment horizontal="center" vertical="center"/>
    </xf>
    <xf numFmtId="0" fontId="8" fillId="3" borderId="11" xfId="0" applyFont="1" applyFill="1" applyBorder="1" applyAlignment="1" applyProtection="1">
      <alignment horizontal="center" vertical="center"/>
    </xf>
    <xf numFmtId="0" fontId="8" fillId="5" borderId="24" xfId="0" applyFont="1" applyFill="1" applyBorder="1" applyAlignment="1" applyProtection="1">
      <alignment horizontal="center" vertical="center"/>
    </xf>
    <xf numFmtId="0" fontId="8" fillId="5" borderId="20" xfId="0" applyFont="1" applyFill="1" applyBorder="1" applyAlignment="1" applyProtection="1">
      <alignment horizontal="center" vertical="center"/>
    </xf>
    <xf numFmtId="0" fontId="8" fillId="4" borderId="24" xfId="0" applyFont="1" applyFill="1" applyBorder="1" applyAlignment="1" applyProtection="1">
      <alignment horizontal="center" vertical="center"/>
    </xf>
    <xf numFmtId="0" fontId="8" fillId="4" borderId="20" xfId="0" applyFont="1" applyFill="1" applyBorder="1" applyAlignment="1" applyProtection="1">
      <alignment horizontal="center" vertical="center"/>
    </xf>
    <xf numFmtId="0" fontId="8" fillId="6" borderId="15" xfId="0" applyFont="1" applyFill="1" applyBorder="1" applyAlignment="1" applyProtection="1">
      <alignment horizontal="center" vertical="center"/>
    </xf>
    <xf numFmtId="0" fontId="8" fillId="6" borderId="0" xfId="0" applyFont="1" applyFill="1" applyBorder="1" applyAlignment="1" applyProtection="1">
      <alignment horizontal="center" vertical="center"/>
    </xf>
    <xf numFmtId="0" fontId="8" fillId="2" borderId="24" xfId="0" applyFont="1" applyFill="1" applyBorder="1" applyAlignment="1" applyProtection="1">
      <alignment horizontal="center" vertical="center" wrapText="1"/>
    </xf>
    <xf numFmtId="0" fontId="8" fillId="0" borderId="11" xfId="0" applyFont="1" applyFill="1" applyBorder="1" applyAlignment="1" applyProtection="1">
      <alignment horizontal="center" vertical="center"/>
    </xf>
    <xf numFmtId="0" fontId="8" fillId="3" borderId="24" xfId="0" applyFont="1" applyFill="1" applyBorder="1" applyAlignment="1" applyProtection="1">
      <alignment horizontal="center" vertical="center" wrapText="1"/>
    </xf>
    <xf numFmtId="0" fontId="8" fillId="0" borderId="20" xfId="0" applyFont="1" applyFill="1" applyBorder="1" applyAlignment="1" applyProtection="1">
      <alignment horizontal="center" vertical="center"/>
    </xf>
    <xf numFmtId="0" fontId="8" fillId="5" borderId="24" xfId="0" applyFont="1" applyFill="1" applyBorder="1" applyAlignment="1" applyProtection="1">
      <alignment horizontal="center" vertical="center" wrapText="1"/>
    </xf>
    <xf numFmtId="0" fontId="8" fillId="4" borderId="24" xfId="0" applyFont="1" applyFill="1" applyBorder="1" applyAlignment="1" applyProtection="1">
      <alignment horizontal="center" vertical="center" wrapText="1"/>
    </xf>
    <xf numFmtId="0" fontId="8" fillId="2" borderId="29" xfId="0" applyFont="1" applyFill="1" applyBorder="1" applyAlignment="1" applyProtection="1">
      <alignment horizontal="center" vertical="center"/>
    </xf>
    <xf numFmtId="164" fontId="14" fillId="0" borderId="13" xfId="1" applyNumberFormat="1" applyFont="1" applyBorder="1" applyAlignment="1" applyProtection="1">
      <alignment horizontal="center" vertical="center"/>
    </xf>
    <xf numFmtId="0" fontId="8" fillId="3" borderId="29" xfId="0" applyFont="1" applyFill="1" applyBorder="1" applyAlignment="1" applyProtection="1">
      <alignment horizontal="center" vertical="center"/>
    </xf>
    <xf numFmtId="164" fontId="14" fillId="0" borderId="30" xfId="1" applyNumberFormat="1" applyFont="1" applyBorder="1" applyAlignment="1" applyProtection="1">
      <alignment horizontal="center" vertical="center"/>
    </xf>
    <xf numFmtId="0" fontId="8" fillId="5" borderId="29" xfId="0" applyFont="1" applyFill="1" applyBorder="1" applyAlignment="1" applyProtection="1">
      <alignment horizontal="center" vertical="center"/>
    </xf>
    <xf numFmtId="0" fontId="8" fillId="4" borderId="29" xfId="0" applyFont="1" applyFill="1" applyBorder="1" applyAlignment="1" applyProtection="1">
      <alignment horizontal="center" vertical="center"/>
    </xf>
    <xf numFmtId="0" fontId="8" fillId="6" borderId="17" xfId="0" applyFont="1" applyFill="1" applyBorder="1" applyAlignment="1" applyProtection="1">
      <alignment vertical="center"/>
    </xf>
    <xf numFmtId="0" fontId="8" fillId="6" borderId="19" xfId="0" applyFont="1" applyFill="1" applyBorder="1" applyAlignment="1" applyProtection="1">
      <alignment vertical="center" wrapText="1"/>
    </xf>
    <xf numFmtId="0" fontId="8" fillId="6" borderId="19" xfId="0" applyFont="1" applyFill="1" applyBorder="1" applyAlignment="1" applyProtection="1">
      <alignment horizontal="left" vertical="center"/>
    </xf>
    <xf numFmtId="0" fontId="9" fillId="6" borderId="21" xfId="0" applyFont="1" applyFill="1" applyBorder="1" applyProtection="1"/>
    <xf numFmtId="0" fontId="8" fillId="2" borderId="29" xfId="0" applyFont="1" applyFill="1" applyBorder="1" applyAlignment="1" applyProtection="1">
      <alignment horizontal="center" vertical="center" wrapText="1"/>
    </xf>
    <xf numFmtId="0" fontId="8" fillId="2" borderId="30" xfId="0" applyFont="1" applyFill="1" applyBorder="1" applyAlignment="1" applyProtection="1">
      <alignment horizontal="center" vertical="center" wrapText="1"/>
    </xf>
    <xf numFmtId="0" fontId="8" fillId="3" borderId="31" xfId="0" applyFont="1" applyFill="1" applyBorder="1" applyAlignment="1" applyProtection="1">
      <alignment horizontal="center" vertical="center" wrapText="1"/>
    </xf>
    <xf numFmtId="0" fontId="8" fillId="3" borderId="25" xfId="0" applyFont="1" applyFill="1" applyBorder="1" applyAlignment="1" applyProtection="1">
      <alignment horizontal="center" vertical="center" wrapText="1"/>
    </xf>
    <xf numFmtId="0" fontId="8" fillId="5" borderId="32" xfId="0" applyFont="1" applyFill="1" applyBorder="1" applyAlignment="1" applyProtection="1">
      <alignment horizontal="center" vertical="center" wrapText="1"/>
    </xf>
    <xf numFmtId="0" fontId="8" fillId="5" borderId="25" xfId="0" applyFont="1" applyFill="1" applyBorder="1" applyAlignment="1" applyProtection="1">
      <alignment horizontal="center" vertical="center" wrapText="1"/>
    </xf>
    <xf numFmtId="0" fontId="8" fillId="4" borderId="32" xfId="0" applyFont="1" applyFill="1" applyBorder="1" applyAlignment="1" applyProtection="1">
      <alignment horizontal="center" vertical="center" wrapText="1"/>
    </xf>
    <xf numFmtId="0" fontId="8" fillId="4" borderId="25" xfId="0" applyFont="1" applyFill="1" applyBorder="1" applyAlignment="1" applyProtection="1">
      <alignment horizontal="center" vertical="center" wrapText="1"/>
    </xf>
    <xf numFmtId="0" fontId="5" fillId="0" borderId="10" xfId="0" applyFont="1" applyBorder="1" applyProtection="1"/>
    <xf numFmtId="0" fontId="5" fillId="0" borderId="14" xfId="0" applyFont="1" applyBorder="1" applyProtection="1"/>
    <xf numFmtId="0" fontId="5" fillId="0" borderId="11" xfId="0" applyFont="1" applyBorder="1" applyProtection="1"/>
    <xf numFmtId="0" fontId="5" fillId="0" borderId="0" xfId="0" applyFont="1" applyBorder="1" applyProtection="1"/>
    <xf numFmtId="0" fontId="10" fillId="0" borderId="2" xfId="0" applyFont="1" applyBorder="1" applyAlignment="1" applyProtection="1">
      <alignment vertical="center"/>
    </xf>
    <xf numFmtId="0" fontId="11" fillId="0" borderId="6" xfId="0" applyFont="1" applyBorder="1" applyAlignment="1" applyProtection="1">
      <alignment vertical="center"/>
    </xf>
    <xf numFmtId="0" fontId="11" fillId="0" borderId="6" xfId="0" applyFont="1" applyBorder="1" applyProtection="1"/>
    <xf numFmtId="164" fontId="12" fillId="0" borderId="22" xfId="0" applyNumberFormat="1" applyFont="1" applyBorder="1" applyProtection="1"/>
    <xf numFmtId="0" fontId="5" fillId="0" borderId="15" xfId="0" applyFont="1" applyBorder="1" applyProtection="1"/>
    <xf numFmtId="0" fontId="5" fillId="0" borderId="8" xfId="0" applyFont="1" applyBorder="1" applyProtection="1"/>
    <xf numFmtId="0" fontId="5" fillId="0" borderId="12" xfId="0" applyFont="1" applyBorder="1" applyProtection="1"/>
    <xf numFmtId="0" fontId="5" fillId="0" borderId="16" xfId="0" applyFont="1" applyBorder="1" applyProtection="1"/>
    <xf numFmtId="0" fontId="5" fillId="0" borderId="13" xfId="0" applyFont="1" applyBorder="1" applyProtection="1"/>
    <xf numFmtId="0" fontId="10" fillId="0" borderId="4" xfId="0" applyFont="1" applyBorder="1" applyAlignment="1" applyProtection="1">
      <alignment vertical="center"/>
    </xf>
    <xf numFmtId="0" fontId="11" fillId="0" borderId="7" xfId="0" applyFont="1" applyBorder="1" applyAlignment="1" applyProtection="1">
      <alignment vertical="center"/>
    </xf>
    <xf numFmtId="0" fontId="11" fillId="0" borderId="7" xfId="0" applyFont="1" applyBorder="1" applyProtection="1"/>
    <xf numFmtId="164" fontId="12" fillId="0" borderId="23" xfId="0" applyNumberFormat="1" applyFont="1" applyBorder="1" applyProtection="1"/>
    <xf numFmtId="0" fontId="10" fillId="0" borderId="0" xfId="0" applyFont="1" applyBorder="1" applyAlignment="1" applyProtection="1">
      <alignment vertical="center"/>
    </xf>
    <xf numFmtId="0" fontId="11" fillId="0" borderId="0" xfId="0" applyFont="1" applyBorder="1" applyAlignment="1" applyProtection="1">
      <alignment vertical="center"/>
    </xf>
    <xf numFmtId="0" fontId="11" fillId="0" borderId="0" xfId="0" applyFont="1" applyBorder="1" applyProtection="1"/>
    <xf numFmtId="164" fontId="12" fillId="0" borderId="0" xfId="0" applyNumberFormat="1" applyFont="1" applyBorder="1" applyProtection="1"/>
    <xf numFmtId="0" fontId="11" fillId="0" borderId="0" xfId="0" applyFont="1" applyBorder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 vertical="center"/>
    </xf>
    <xf numFmtId="45" fontId="6" fillId="0" borderId="0" xfId="0" applyNumberFormat="1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vertical="center"/>
    </xf>
    <xf numFmtId="2" fontId="0" fillId="0" borderId="0" xfId="0" applyNumberFormat="1" applyProtection="1"/>
    <xf numFmtId="0" fontId="3" fillId="0" borderId="0" xfId="0" applyFont="1" applyBorder="1" applyAlignment="1" applyProtection="1">
      <alignment vertical="center"/>
    </xf>
    <xf numFmtId="0" fontId="11" fillId="7" borderId="26" xfId="0" applyFont="1" applyFill="1" applyBorder="1" applyAlignment="1" applyProtection="1">
      <alignment horizontal="center" vertical="center"/>
      <protection locked="0"/>
    </xf>
    <xf numFmtId="0" fontId="11" fillId="7" borderId="27" xfId="0" applyFont="1" applyFill="1" applyBorder="1" applyAlignment="1" applyProtection="1">
      <alignment horizontal="center" vertical="center"/>
      <protection locked="0"/>
    </xf>
    <xf numFmtId="0" fontId="11" fillId="7" borderId="28" xfId="0" applyFont="1" applyFill="1" applyBorder="1" applyAlignment="1" applyProtection="1">
      <alignment horizontal="center" vertical="center"/>
      <protection locked="0"/>
    </xf>
    <xf numFmtId="0" fontId="11" fillId="7" borderId="17" xfId="0" applyFont="1" applyFill="1" applyBorder="1" applyAlignment="1" applyProtection="1">
      <alignment horizontal="center" vertical="center"/>
      <protection locked="0"/>
    </xf>
    <xf numFmtId="0" fontId="11" fillId="7" borderId="2" xfId="0" applyFont="1" applyFill="1" applyBorder="1" applyAlignment="1" applyProtection="1">
      <alignment horizontal="center" vertical="center"/>
      <protection locked="0"/>
    </xf>
    <xf numFmtId="0" fontId="11" fillId="7" borderId="4" xfId="0" applyFont="1" applyFill="1" applyBorder="1" applyAlignment="1" applyProtection="1">
      <alignment horizontal="center" vertical="center"/>
      <protection locked="0"/>
    </xf>
    <xf numFmtId="0" fontId="11" fillId="7" borderId="19" xfId="0" applyFont="1" applyFill="1" applyBorder="1" applyAlignment="1" applyProtection="1">
      <alignment horizontal="center" vertical="center"/>
    </xf>
    <xf numFmtId="0" fontId="11" fillId="7" borderId="18" xfId="0" applyFont="1" applyFill="1" applyBorder="1" applyAlignment="1" applyProtection="1">
      <alignment horizontal="center" vertical="center"/>
    </xf>
    <xf numFmtId="0" fontId="11" fillId="7" borderId="6" xfId="0" applyFont="1" applyFill="1" applyBorder="1" applyAlignment="1" applyProtection="1">
      <alignment horizontal="center" vertical="center"/>
    </xf>
    <xf numFmtId="0" fontId="11" fillId="7" borderId="3" xfId="0" applyFont="1" applyFill="1" applyBorder="1" applyAlignment="1" applyProtection="1">
      <alignment horizontal="center" vertical="center"/>
    </xf>
    <xf numFmtId="0" fontId="11" fillId="7" borderId="7" xfId="0" applyFont="1" applyFill="1" applyBorder="1" applyAlignment="1" applyProtection="1">
      <alignment horizontal="center" vertical="center"/>
    </xf>
    <xf numFmtId="0" fontId="11" fillId="7" borderId="5" xfId="0" applyFont="1" applyFill="1" applyBorder="1" applyAlignment="1" applyProtection="1">
      <alignment horizontal="center" vertical="center"/>
    </xf>
    <xf numFmtId="0" fontId="2" fillId="0" borderId="0" xfId="0" applyFont="1" applyProtection="1">
      <protection locked="0"/>
    </xf>
    <xf numFmtId="45" fontId="2" fillId="0" borderId="0" xfId="0" applyNumberFormat="1" applyFont="1" applyBorder="1" applyProtection="1">
      <protection locked="0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15</xdr:row>
          <xdr:rowOff>9525</xdr:rowOff>
        </xdr:from>
        <xdr:to>
          <xdr:col>5</xdr:col>
          <xdr:colOff>323850</xdr:colOff>
          <xdr:row>16</xdr:row>
          <xdr:rowOff>95250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Generar evento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8</xdr:row>
          <xdr:rowOff>171450</xdr:rowOff>
        </xdr:from>
        <xdr:to>
          <xdr:col>6</xdr:col>
          <xdr:colOff>28575</xdr:colOff>
          <xdr:row>10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Analizar esfuerzo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342900</xdr:colOff>
          <xdr:row>24</xdr:row>
          <xdr:rowOff>47625</xdr:rowOff>
        </xdr:from>
        <xdr:to>
          <xdr:col>17</xdr:col>
          <xdr:colOff>542925</xdr:colOff>
          <xdr:row>25</xdr:row>
          <xdr:rowOff>161925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304800</xdr:colOff>
          <xdr:row>24</xdr:row>
          <xdr:rowOff>47625</xdr:rowOff>
        </xdr:from>
        <xdr:to>
          <xdr:col>19</xdr:col>
          <xdr:colOff>504825</xdr:colOff>
          <xdr:row>25</xdr:row>
          <xdr:rowOff>152400</xdr:rowOff>
        </xdr:to>
        <xdr:sp macro="" textlink="">
          <xdr:nvSpPr>
            <xdr:cNvPr id="2059" name="CommandButton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V33"/>
  <sheetViews>
    <sheetView showGridLines="0" showRowColHeaders="0" tabSelected="1" zoomScaleNormal="100" workbookViewId="0">
      <selection activeCell="L5" sqref="L5"/>
    </sheetView>
  </sheetViews>
  <sheetFormatPr baseColWidth="10" defaultRowHeight="15" x14ac:dyDescent="0.25"/>
  <cols>
    <col min="1" max="1" width="5.85546875" style="15" customWidth="1"/>
    <col min="2" max="2" width="5" style="15" customWidth="1"/>
    <col min="3" max="4" width="5" style="16" customWidth="1"/>
    <col min="5" max="5" width="5.85546875" style="16" bestFit="1" customWidth="1"/>
    <col min="6" max="6" width="5" style="16" customWidth="1"/>
    <col min="7" max="9" width="5" style="17" customWidth="1"/>
    <col min="10" max="10" width="5.85546875" style="16" bestFit="1" customWidth="1"/>
    <col min="11" max="11" width="4.140625" style="17" bestFit="1" customWidth="1"/>
    <col min="12" max="12" width="11.140625" style="17" bestFit="1" customWidth="1"/>
    <col min="13" max="13" width="8.28515625" style="17" bestFit="1" customWidth="1"/>
    <col min="14" max="14" width="1.7109375" style="16" customWidth="1"/>
    <col min="15" max="15" width="14" style="17" bestFit="1" customWidth="1"/>
    <col min="16" max="16" width="13.5703125" style="15" bestFit="1" customWidth="1"/>
    <col min="17" max="17" width="14" style="15" bestFit="1" customWidth="1"/>
    <col min="18" max="18" width="13.5703125" style="15" bestFit="1" customWidth="1"/>
    <col min="19" max="19" width="14" style="15" bestFit="1" customWidth="1"/>
    <col min="20" max="20" width="13.5703125" style="15" bestFit="1" customWidth="1"/>
    <col min="21" max="21" width="13.28515625" style="15" bestFit="1" customWidth="1"/>
    <col min="22" max="22" width="13.5703125" style="15" customWidth="1"/>
    <col min="23" max="16384" width="11.42578125" style="15"/>
  </cols>
  <sheetData>
    <row r="1" spans="1:22" ht="15.75" thickBot="1" x14ac:dyDescent="0.3"/>
    <row r="2" spans="1:22" ht="16.5" thickBot="1" x14ac:dyDescent="0.3">
      <c r="A2" s="97">
        <v>3</v>
      </c>
      <c r="B2" s="97">
        <v>6</v>
      </c>
      <c r="C2" s="98">
        <v>1.0416666666666667E-3</v>
      </c>
      <c r="K2" s="19"/>
      <c r="L2" s="20"/>
      <c r="M2" s="20"/>
      <c r="N2" s="21"/>
      <c r="O2" s="22" t="s">
        <v>4</v>
      </c>
      <c r="P2" s="23"/>
      <c r="Q2" s="24" t="s">
        <v>5</v>
      </c>
      <c r="R2" s="25"/>
      <c r="S2" s="26" t="s">
        <v>6</v>
      </c>
      <c r="T2" s="27"/>
      <c r="U2" s="28" t="s">
        <v>7</v>
      </c>
      <c r="V2" s="29"/>
    </row>
    <row r="3" spans="1:22" ht="31.5" customHeight="1" x14ac:dyDescent="0.25">
      <c r="A3" s="18"/>
      <c r="B3" s="18"/>
      <c r="K3" s="30"/>
      <c r="L3" s="31"/>
      <c r="M3" s="31"/>
      <c r="N3" s="31"/>
      <c r="O3" s="32" t="s">
        <v>9</v>
      </c>
      <c r="P3" s="33">
        <v>10</v>
      </c>
      <c r="Q3" s="34" t="s">
        <v>9</v>
      </c>
      <c r="R3" s="35">
        <v>10</v>
      </c>
      <c r="S3" s="36" t="s">
        <v>9</v>
      </c>
      <c r="T3" s="33">
        <v>10</v>
      </c>
      <c r="U3" s="37" t="s">
        <v>10</v>
      </c>
      <c r="V3" s="35">
        <v>10</v>
      </c>
    </row>
    <row r="4" spans="1:22" ht="2.25" customHeight="1" thickBot="1" x14ac:dyDescent="0.3">
      <c r="K4" s="30"/>
      <c r="L4" s="31"/>
      <c r="M4" s="31"/>
      <c r="N4" s="31"/>
      <c r="O4" s="38"/>
      <c r="P4" s="39">
        <f>SUMIF(P6:P19,"X",N6:N19)</f>
        <v>0</v>
      </c>
      <c r="Q4" s="40"/>
      <c r="R4" s="41">
        <f>SUMIF(R6:R19,"X",N6:N19)</f>
        <v>0</v>
      </c>
      <c r="S4" s="42"/>
      <c r="T4" s="39">
        <f>SUMIF(T6:T19,"X",N6:N19)</f>
        <v>0</v>
      </c>
      <c r="U4" s="43"/>
      <c r="V4" s="41">
        <f>SUMIF(V6:V19,"X",N6:N19)</f>
        <v>0</v>
      </c>
    </row>
    <row r="5" spans="1:22" ht="32.25" thickBot="1" x14ac:dyDescent="0.3">
      <c r="K5" s="44" t="s">
        <v>0</v>
      </c>
      <c r="L5" s="45" t="s">
        <v>1</v>
      </c>
      <c r="M5" s="46" t="s">
        <v>8</v>
      </c>
      <c r="N5" s="47"/>
      <c r="O5" s="48" t="s">
        <v>3</v>
      </c>
      <c r="P5" s="49" t="s">
        <v>2</v>
      </c>
      <c r="Q5" s="50" t="s">
        <v>3</v>
      </c>
      <c r="R5" s="51" t="s">
        <v>2</v>
      </c>
      <c r="S5" s="52" t="s">
        <v>3</v>
      </c>
      <c r="T5" s="53" t="s">
        <v>2</v>
      </c>
      <c r="U5" s="54" t="s">
        <v>3</v>
      </c>
      <c r="V5" s="55" t="s">
        <v>2</v>
      </c>
    </row>
    <row r="6" spans="1:22" ht="20.25" customHeight="1" x14ac:dyDescent="0.35">
      <c r="B6" s="56" t="str">
        <f>IF(A2&gt;=2,"l","")</f>
        <v>l</v>
      </c>
      <c r="C6" s="57"/>
      <c r="D6" s="58" t="str">
        <f>IF(A2&gt;=4,"l","")</f>
        <v/>
      </c>
      <c r="F6" s="56" t="str">
        <f>IF(B2&gt;=2,"l","")</f>
        <v>l</v>
      </c>
      <c r="G6" s="57"/>
      <c r="H6" s="58" t="str">
        <f>IF(B2&gt;=4,"l","")</f>
        <v>l</v>
      </c>
      <c r="I6" s="59"/>
      <c r="K6" s="60">
        <v>1</v>
      </c>
      <c r="L6" s="61">
        <v>10</v>
      </c>
      <c r="M6" s="62">
        <v>10</v>
      </c>
      <c r="N6" s="63">
        <v>0.04</v>
      </c>
      <c r="O6" s="85"/>
      <c r="P6" s="91" t="str">
        <f>IF(L6&lt;=O6,"X","")</f>
        <v/>
      </c>
      <c r="Q6" s="88"/>
      <c r="R6" s="92" t="str">
        <f>IF(L6&lt;=Q6,"X","")</f>
        <v/>
      </c>
      <c r="S6" s="88"/>
      <c r="T6" s="92" t="str">
        <f>IF(L6&lt;=S6,"X","")</f>
        <v/>
      </c>
      <c r="U6" s="88"/>
      <c r="V6" s="92" t="str">
        <f>IF(L6&lt;=U6,"X","")</f>
        <v/>
      </c>
    </row>
    <row r="7" spans="1:22" ht="21" customHeight="1" x14ac:dyDescent="0.35">
      <c r="B7" s="64" t="str">
        <f>IF(A2=6,"l","")</f>
        <v/>
      </c>
      <c r="C7" s="59" t="str">
        <f>IF(OR(A2=1,A2=5,A2=3),"l","")</f>
        <v>l</v>
      </c>
      <c r="D7" s="65" t="str">
        <f>IF(A2=6,"l","")</f>
        <v/>
      </c>
      <c r="F7" s="64" t="str">
        <f>IF(B2=6,"l","")</f>
        <v>l</v>
      </c>
      <c r="G7" s="59" t="str">
        <f>IF(OR(B2=1,B2=5,B2=3),"l","")</f>
        <v/>
      </c>
      <c r="H7" s="65" t="str">
        <f>IF(B2=6,"l","")</f>
        <v>l</v>
      </c>
      <c r="I7" s="59"/>
      <c r="K7" s="60">
        <v>2</v>
      </c>
      <c r="L7" s="61">
        <v>20</v>
      </c>
      <c r="M7" s="62">
        <v>4</v>
      </c>
      <c r="N7" s="63">
        <v>3.7999999999999999E-2</v>
      </c>
      <c r="O7" s="86"/>
      <c r="P7" s="93" t="str">
        <f t="shared" ref="P7:P19" si="0">IF(L7&lt;=O7,"X","")</f>
        <v/>
      </c>
      <c r="Q7" s="89"/>
      <c r="R7" s="94" t="str">
        <f t="shared" ref="R7:R19" si="1">IF(L7&lt;=Q7,"X","")</f>
        <v/>
      </c>
      <c r="S7" s="89"/>
      <c r="T7" s="94" t="str">
        <f t="shared" ref="T7:T19" si="2">IF(L7&lt;=S7,"X","")</f>
        <v/>
      </c>
      <c r="U7" s="89"/>
      <c r="V7" s="94" t="str">
        <f t="shared" ref="V7:V19" si="3">IF(L7&lt;=U7,"X","")</f>
        <v/>
      </c>
    </row>
    <row r="8" spans="1:22" ht="21" customHeight="1" thickBot="1" x14ac:dyDescent="0.4">
      <c r="B8" s="66" t="str">
        <f>IF(A2&gt;=4,"l","")</f>
        <v/>
      </c>
      <c r="C8" s="67"/>
      <c r="D8" s="68" t="str">
        <f>IF(A2&gt;=2,"l","")</f>
        <v>l</v>
      </c>
      <c r="F8" s="66" t="str">
        <f>IF(B2&gt;=4,"l","")</f>
        <v>l</v>
      </c>
      <c r="G8" s="67"/>
      <c r="H8" s="68" t="str">
        <f>IF(B2&gt;=2,"l","")</f>
        <v>l</v>
      </c>
      <c r="I8" s="59"/>
      <c r="K8" s="60">
        <v>3</v>
      </c>
      <c r="L8" s="61">
        <v>15</v>
      </c>
      <c r="M8" s="62">
        <v>8</v>
      </c>
      <c r="N8" s="63">
        <v>9.9000000000000005E-2</v>
      </c>
      <c r="O8" s="86"/>
      <c r="P8" s="93" t="str">
        <f t="shared" si="0"/>
        <v/>
      </c>
      <c r="Q8" s="89"/>
      <c r="R8" s="94" t="str">
        <f t="shared" si="1"/>
        <v/>
      </c>
      <c r="S8" s="89"/>
      <c r="T8" s="94" t="str">
        <f t="shared" si="2"/>
        <v/>
      </c>
      <c r="U8" s="89"/>
      <c r="V8" s="94" t="str">
        <f t="shared" si="3"/>
        <v/>
      </c>
    </row>
    <row r="9" spans="1:22" ht="17.25" x14ac:dyDescent="0.3">
      <c r="K9" s="60">
        <v>4</v>
      </c>
      <c r="L9" s="61">
        <v>18</v>
      </c>
      <c r="M9" s="62">
        <v>5</v>
      </c>
      <c r="N9" s="63">
        <v>3.9E-2</v>
      </c>
      <c r="O9" s="86"/>
      <c r="P9" s="93" t="str">
        <f t="shared" si="0"/>
        <v/>
      </c>
      <c r="Q9" s="89"/>
      <c r="R9" s="94" t="str">
        <f t="shared" si="1"/>
        <v/>
      </c>
      <c r="S9" s="89"/>
      <c r="T9" s="94" t="str">
        <f t="shared" si="2"/>
        <v/>
      </c>
      <c r="U9" s="89"/>
      <c r="V9" s="94" t="str">
        <f t="shared" si="3"/>
        <v/>
      </c>
    </row>
    <row r="10" spans="1:22" ht="17.25" x14ac:dyDescent="0.3">
      <c r="K10" s="60">
        <v>5</v>
      </c>
      <c r="L10" s="61">
        <v>20</v>
      </c>
      <c r="M10" s="62">
        <v>7</v>
      </c>
      <c r="N10" s="63">
        <v>0.112</v>
      </c>
      <c r="O10" s="86"/>
      <c r="P10" s="93" t="str">
        <f t="shared" si="0"/>
        <v/>
      </c>
      <c r="Q10" s="89"/>
      <c r="R10" s="94" t="str">
        <f t="shared" si="1"/>
        <v/>
      </c>
      <c r="S10" s="89"/>
      <c r="T10" s="94" t="str">
        <f t="shared" si="2"/>
        <v/>
      </c>
      <c r="U10" s="89"/>
      <c r="V10" s="94" t="str">
        <f t="shared" si="3"/>
        <v/>
      </c>
    </row>
    <row r="11" spans="1:22" ht="17.25" x14ac:dyDescent="0.3">
      <c r="K11" s="60">
        <v>6</v>
      </c>
      <c r="L11" s="61">
        <v>16</v>
      </c>
      <c r="M11" s="62">
        <v>4</v>
      </c>
      <c r="N11" s="63">
        <v>9.2999999999999999E-2</v>
      </c>
      <c r="O11" s="86"/>
      <c r="P11" s="93" t="str">
        <f t="shared" si="0"/>
        <v/>
      </c>
      <c r="Q11" s="89"/>
      <c r="R11" s="94" t="str">
        <f t="shared" si="1"/>
        <v/>
      </c>
      <c r="S11" s="89"/>
      <c r="T11" s="94" t="str">
        <f t="shared" si="2"/>
        <v/>
      </c>
      <c r="U11" s="89"/>
      <c r="V11" s="94" t="str">
        <f t="shared" si="3"/>
        <v/>
      </c>
    </row>
    <row r="12" spans="1:22" ht="17.25" x14ac:dyDescent="0.3">
      <c r="K12" s="60">
        <v>7</v>
      </c>
      <c r="L12" s="61">
        <v>12</v>
      </c>
      <c r="M12" s="62">
        <v>9</v>
      </c>
      <c r="N12" s="63">
        <v>8.3000000000000004E-2</v>
      </c>
      <c r="O12" s="86"/>
      <c r="P12" s="93" t="str">
        <f t="shared" si="0"/>
        <v/>
      </c>
      <c r="Q12" s="89"/>
      <c r="R12" s="94" t="str">
        <f t="shared" si="1"/>
        <v/>
      </c>
      <c r="S12" s="89"/>
      <c r="T12" s="94" t="str">
        <f t="shared" si="2"/>
        <v/>
      </c>
      <c r="U12" s="89"/>
      <c r="V12" s="94" t="str">
        <f t="shared" si="3"/>
        <v/>
      </c>
    </row>
    <row r="13" spans="1:22" ht="17.25" x14ac:dyDescent="0.3">
      <c r="K13" s="60">
        <v>8</v>
      </c>
      <c r="L13" s="61">
        <v>20</v>
      </c>
      <c r="M13" s="62">
        <v>7</v>
      </c>
      <c r="N13" s="63">
        <v>9.2999999999999999E-2</v>
      </c>
      <c r="O13" s="86"/>
      <c r="P13" s="93" t="str">
        <f t="shared" si="0"/>
        <v/>
      </c>
      <c r="Q13" s="89"/>
      <c r="R13" s="94" t="str">
        <f t="shared" si="1"/>
        <v/>
      </c>
      <c r="S13" s="89"/>
      <c r="T13" s="94" t="str">
        <f t="shared" si="2"/>
        <v/>
      </c>
      <c r="U13" s="89"/>
      <c r="V13" s="94" t="str">
        <f t="shared" si="3"/>
        <v/>
      </c>
    </row>
    <row r="14" spans="1:22" ht="17.25" x14ac:dyDescent="0.3">
      <c r="K14" s="60">
        <v>9</v>
      </c>
      <c r="L14" s="61">
        <v>20</v>
      </c>
      <c r="M14" s="62">
        <v>5</v>
      </c>
      <c r="N14" s="63">
        <v>3.9E-2</v>
      </c>
      <c r="O14" s="86"/>
      <c r="P14" s="93" t="str">
        <f t="shared" si="0"/>
        <v/>
      </c>
      <c r="Q14" s="89"/>
      <c r="R14" s="94" t="str">
        <f t="shared" si="1"/>
        <v/>
      </c>
      <c r="S14" s="89"/>
      <c r="T14" s="94" t="str">
        <f t="shared" si="2"/>
        <v/>
      </c>
      <c r="U14" s="89"/>
      <c r="V14" s="94" t="str">
        <f t="shared" si="3"/>
        <v/>
      </c>
    </row>
    <row r="15" spans="1:22" ht="17.25" x14ac:dyDescent="0.3">
      <c r="A15" s="97">
        <v>0.28869152069091797</v>
      </c>
      <c r="K15" s="60">
        <v>10</v>
      </c>
      <c r="L15" s="61">
        <v>17</v>
      </c>
      <c r="M15" s="62">
        <v>6</v>
      </c>
      <c r="N15" s="63">
        <v>0.10199999999999999</v>
      </c>
      <c r="O15" s="86"/>
      <c r="P15" s="93" t="str">
        <f t="shared" si="0"/>
        <v/>
      </c>
      <c r="Q15" s="89"/>
      <c r="R15" s="94" t="str">
        <f t="shared" si="1"/>
        <v/>
      </c>
      <c r="S15" s="89"/>
      <c r="T15" s="94" t="str">
        <f t="shared" si="2"/>
        <v/>
      </c>
      <c r="U15" s="89"/>
      <c r="V15" s="94" t="str">
        <f t="shared" si="3"/>
        <v/>
      </c>
    </row>
    <row r="16" spans="1:22" ht="17.25" x14ac:dyDescent="0.3">
      <c r="A16" s="18">
        <v>0.53168445825576782</v>
      </c>
      <c r="K16" s="60">
        <v>11</v>
      </c>
      <c r="L16" s="61">
        <v>16</v>
      </c>
      <c r="M16" s="62">
        <v>8</v>
      </c>
      <c r="N16" s="63">
        <v>9.2999999999999999E-2</v>
      </c>
      <c r="O16" s="86"/>
      <c r="P16" s="93" t="str">
        <f t="shared" si="0"/>
        <v/>
      </c>
      <c r="Q16" s="89"/>
      <c r="R16" s="94" t="str">
        <f t="shared" si="1"/>
        <v/>
      </c>
      <c r="S16" s="89"/>
      <c r="T16" s="94" t="str">
        <f t="shared" si="2"/>
        <v/>
      </c>
      <c r="U16" s="89"/>
      <c r="V16" s="94" t="str">
        <f t="shared" si="3"/>
        <v/>
      </c>
    </row>
    <row r="17" spans="1:22" ht="17.25" x14ac:dyDescent="0.3">
      <c r="K17" s="60">
        <v>12</v>
      </c>
      <c r="L17" s="61">
        <v>15</v>
      </c>
      <c r="M17" s="62">
        <v>7</v>
      </c>
      <c r="N17" s="63">
        <v>3.5000000000000003E-2</v>
      </c>
      <c r="O17" s="86"/>
      <c r="P17" s="93" t="str">
        <f t="shared" si="0"/>
        <v/>
      </c>
      <c r="Q17" s="89"/>
      <c r="R17" s="94" t="str">
        <f t="shared" si="1"/>
        <v/>
      </c>
      <c r="S17" s="89"/>
      <c r="T17" s="94" t="str">
        <f t="shared" si="2"/>
        <v/>
      </c>
      <c r="U17" s="89"/>
      <c r="V17" s="94" t="str">
        <f t="shared" si="3"/>
        <v/>
      </c>
    </row>
    <row r="18" spans="1:22" ht="17.25" x14ac:dyDescent="0.3">
      <c r="K18" s="60">
        <v>13</v>
      </c>
      <c r="L18" s="61">
        <v>18</v>
      </c>
      <c r="M18" s="62">
        <v>6</v>
      </c>
      <c r="N18" s="63">
        <v>9.7000000000000003E-2</v>
      </c>
      <c r="O18" s="86"/>
      <c r="P18" s="93" t="str">
        <f t="shared" si="0"/>
        <v/>
      </c>
      <c r="Q18" s="89"/>
      <c r="R18" s="94" t="str">
        <f t="shared" si="1"/>
        <v/>
      </c>
      <c r="S18" s="89"/>
      <c r="T18" s="94" t="str">
        <f t="shared" si="2"/>
        <v/>
      </c>
      <c r="U18" s="89"/>
      <c r="V18" s="94" t="str">
        <f t="shared" si="3"/>
        <v/>
      </c>
    </row>
    <row r="19" spans="1:22" ht="18" thickBot="1" x14ac:dyDescent="0.35">
      <c r="K19" s="69">
        <v>14</v>
      </c>
      <c r="L19" s="70">
        <v>22</v>
      </c>
      <c r="M19" s="71">
        <v>4</v>
      </c>
      <c r="N19" s="72">
        <v>3.6999999999999998E-2</v>
      </c>
      <c r="O19" s="87"/>
      <c r="P19" s="95" t="str">
        <f t="shared" si="0"/>
        <v/>
      </c>
      <c r="Q19" s="90"/>
      <c r="R19" s="96" t="str">
        <f t="shared" si="1"/>
        <v/>
      </c>
      <c r="S19" s="90"/>
      <c r="T19" s="96" t="str">
        <f t="shared" si="2"/>
        <v/>
      </c>
      <c r="U19" s="90"/>
      <c r="V19" s="96" t="str">
        <f t="shared" si="3"/>
        <v/>
      </c>
    </row>
    <row r="20" spans="1:22" ht="17.25" x14ac:dyDescent="0.3">
      <c r="K20" s="73"/>
      <c r="L20" s="74"/>
      <c r="M20" s="75"/>
      <c r="N20" s="76"/>
      <c r="O20" s="77"/>
      <c r="P20" s="77"/>
      <c r="Q20" s="77"/>
      <c r="R20" s="77"/>
      <c r="S20" s="77"/>
      <c r="T20" s="77"/>
      <c r="U20" s="77"/>
      <c r="V20" s="77"/>
    </row>
    <row r="21" spans="1:22" x14ac:dyDescent="0.25">
      <c r="A21" s="78" t="str">
        <f>IF($A$15&lt;=0.33,"Semana tranquila, no hay contratiempos",IF($A$15&lt;=0.41,"Desarrollador enfermo: Pierdes 2 unidades de capacidad de desarrollo por esta semana",IF($A$15&lt;=0.49,"Desarrollador brillante: Ganas 2 unidades de capacidad de desarrollo por esta semana",IF($A$15&lt;=0.57,"Diferencias irreconciliables: pierdes 1 unidad de capacidad de desarrollo permanentemente",IF($A$15&lt;=0.65,"Nuevo personal: aumentas 1 unidad de capacidad de desarollo permanentemente",IF($A$15&lt;=0.73,"Evaluación estricta: el criterio de aceptación aumenta 1 unidad esta semana",IF($A$15&lt;=0.81,"Evaluación traquila: el criterio de aceptación disminuye 1 unidad esta semana",IF($A$15&lt;=0.95,"Concentración obligada: solo puedes desarrollar una historia esta semana","Caos: pierdes todas tus unidades de capacidad de desarrollo esta semana"))))))))</f>
        <v>Semana tranquila, no hay contratiempos</v>
      </c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9"/>
      <c r="Q21" s="80" t="s">
        <v>12</v>
      </c>
      <c r="R21" s="80"/>
      <c r="S21" s="81">
        <f>C2</f>
        <v>1.0416666666666667E-3</v>
      </c>
      <c r="T21" s="81"/>
      <c r="U21" s="82"/>
      <c r="V21" s="79"/>
    </row>
    <row r="22" spans="1:22" x14ac:dyDescent="0.25">
      <c r="A22" s="78"/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9"/>
      <c r="Q22" s="80"/>
      <c r="R22" s="80"/>
      <c r="S22" s="81"/>
      <c r="T22" s="81"/>
      <c r="U22" s="82"/>
      <c r="V22" s="79"/>
    </row>
    <row r="23" spans="1:22" x14ac:dyDescent="0.25">
      <c r="A23" s="78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9"/>
      <c r="Q23" s="80"/>
      <c r="R23" s="80"/>
      <c r="S23" s="81"/>
      <c r="T23" s="81"/>
      <c r="U23" s="82"/>
      <c r="V23" s="79"/>
    </row>
    <row r="24" spans="1:22" x14ac:dyDescent="0.25">
      <c r="A24" s="78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9"/>
      <c r="Q24" s="80"/>
      <c r="R24" s="80"/>
      <c r="S24" s="81"/>
      <c r="T24" s="81"/>
      <c r="U24" s="82"/>
      <c r="V24" s="79"/>
    </row>
    <row r="25" spans="1:22" x14ac:dyDescent="0.25">
      <c r="A25" s="83"/>
      <c r="K25" s="84"/>
      <c r="L25" s="84"/>
      <c r="M25" s="84"/>
      <c r="N25" s="82"/>
      <c r="O25" s="82"/>
      <c r="P25" s="79"/>
      <c r="Q25" s="82"/>
      <c r="R25" s="79"/>
      <c r="S25" s="82"/>
      <c r="T25" s="79"/>
      <c r="U25" s="82"/>
      <c r="V25" s="79"/>
    </row>
    <row r="26" spans="1:22" x14ac:dyDescent="0.25">
      <c r="A26" s="83"/>
      <c r="K26" s="84"/>
      <c r="L26" s="84"/>
      <c r="M26" s="84"/>
      <c r="N26" s="82"/>
      <c r="O26" s="82"/>
      <c r="P26" s="79"/>
      <c r="Q26" s="82"/>
      <c r="R26" s="79"/>
      <c r="S26" s="82"/>
      <c r="T26" s="79"/>
      <c r="U26" s="82"/>
      <c r="V26" s="79"/>
    </row>
    <row r="27" spans="1:22" x14ac:dyDescent="0.25">
      <c r="A27" s="83"/>
      <c r="K27" s="84"/>
      <c r="L27" s="84"/>
      <c r="M27" s="84"/>
      <c r="N27" s="82"/>
      <c r="O27" s="82"/>
      <c r="P27" s="79"/>
      <c r="Q27" s="82"/>
      <c r="R27" s="79"/>
      <c r="S27" s="82"/>
      <c r="T27" s="79"/>
      <c r="U27" s="82"/>
      <c r="V27" s="79"/>
    </row>
    <row r="28" spans="1:22" x14ac:dyDescent="0.25">
      <c r="A28" s="83"/>
      <c r="K28" s="84"/>
      <c r="L28" s="84"/>
      <c r="M28" s="84"/>
      <c r="N28" s="82"/>
      <c r="O28" s="82"/>
      <c r="P28" s="79"/>
      <c r="Q28" s="82"/>
      <c r="R28" s="79"/>
      <c r="S28" s="82"/>
      <c r="T28" s="79"/>
      <c r="U28" s="82"/>
      <c r="V28" s="79"/>
    </row>
    <row r="29" spans="1:22" x14ac:dyDescent="0.25">
      <c r="K29" s="84"/>
      <c r="L29" s="84"/>
      <c r="M29" s="84"/>
      <c r="N29" s="82"/>
      <c r="O29" s="82"/>
      <c r="P29" s="79"/>
      <c r="Q29" s="82"/>
      <c r="R29" s="79"/>
      <c r="S29" s="82"/>
      <c r="T29" s="79"/>
      <c r="U29" s="82"/>
      <c r="V29" s="79"/>
    </row>
    <row r="30" spans="1:22" x14ac:dyDescent="0.25">
      <c r="K30" s="84"/>
      <c r="L30" s="84"/>
      <c r="M30" s="84"/>
      <c r="N30" s="82"/>
      <c r="O30" s="82"/>
      <c r="P30" s="79"/>
      <c r="Q30" s="82"/>
      <c r="R30" s="79"/>
      <c r="S30" s="82"/>
      <c r="T30" s="79"/>
      <c r="U30" s="82"/>
      <c r="V30" s="79"/>
    </row>
    <row r="31" spans="1:22" x14ac:dyDescent="0.25">
      <c r="K31" s="84"/>
      <c r="L31" s="84"/>
      <c r="M31" s="84"/>
      <c r="N31" s="82"/>
      <c r="O31" s="82"/>
      <c r="P31" s="79"/>
      <c r="Q31" s="82"/>
      <c r="R31" s="79"/>
      <c r="S31" s="82"/>
      <c r="T31" s="79"/>
      <c r="U31" s="82"/>
      <c r="V31" s="79"/>
    </row>
    <row r="32" spans="1:22" x14ac:dyDescent="0.25">
      <c r="K32" s="84"/>
      <c r="L32" s="84"/>
      <c r="M32" s="84"/>
      <c r="N32" s="82"/>
      <c r="O32" s="82"/>
      <c r="P32" s="79"/>
      <c r="Q32" s="82"/>
      <c r="R32" s="79"/>
      <c r="S32" s="82"/>
      <c r="T32" s="79"/>
      <c r="U32" s="82"/>
      <c r="V32" s="79"/>
    </row>
    <row r="33" spans="11:22" x14ac:dyDescent="0.25">
      <c r="K33" s="84"/>
      <c r="L33" s="84"/>
      <c r="M33" s="84"/>
      <c r="N33" s="82"/>
      <c r="O33" s="82"/>
      <c r="P33" s="79"/>
      <c r="Q33" s="82"/>
      <c r="R33" s="79"/>
      <c r="S33" s="82"/>
      <c r="T33" s="79"/>
      <c r="U33" s="82"/>
      <c r="V33" s="79"/>
    </row>
  </sheetData>
  <sheetProtection sheet="1" objects="1" scenarios="1"/>
  <mergeCells count="8">
    <mergeCell ref="U2:V2"/>
    <mergeCell ref="A21:O24"/>
    <mergeCell ref="K2:N4"/>
    <mergeCell ref="O2:P2"/>
    <mergeCell ref="Q2:R2"/>
    <mergeCell ref="S2:T2"/>
    <mergeCell ref="Q21:R24"/>
    <mergeCell ref="S21:T24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59" r:id="rId4" name="CommandButton1">
          <controlPr defaultSize="0" autoLine="0" r:id="rId5">
            <anchor moveWithCells="1">
              <from>
                <xdr:col>18</xdr:col>
                <xdr:colOff>304800</xdr:colOff>
                <xdr:row>24</xdr:row>
                <xdr:rowOff>47625</xdr:rowOff>
              </from>
              <to>
                <xdr:col>19</xdr:col>
                <xdr:colOff>504825</xdr:colOff>
                <xdr:row>25</xdr:row>
                <xdr:rowOff>152400</xdr:rowOff>
              </to>
            </anchor>
          </controlPr>
        </control>
      </mc:Choice>
      <mc:Fallback>
        <control shapeId="2059" r:id="rId4" name="CommandButton1"/>
      </mc:Fallback>
    </mc:AlternateContent>
    <mc:AlternateContent xmlns:mc="http://schemas.openxmlformats.org/markup-compatibility/2006">
      <mc:Choice Requires="x14">
        <control shapeId="2053" r:id="rId6" name="Button 5">
          <controlPr defaultSize="0" print="0" autoFill="0" autoPict="0" macro="[0]!GenerarHistoria">
            <anchor moveWithCells="1" sizeWithCells="1">
              <from>
                <xdr:col>2</xdr:col>
                <xdr:colOff>247650</xdr:colOff>
                <xdr:row>15</xdr:row>
                <xdr:rowOff>9525</xdr:rowOff>
              </from>
              <to>
                <xdr:col>5</xdr:col>
                <xdr:colOff>323850</xdr:colOff>
                <xdr:row>16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7" name="Button 6">
          <controlPr defaultSize="0" print="0" autoFill="0" autoPict="0" macro="[0]!LanzarDado">
            <anchor moveWithCells="1" sizeWithCells="1">
              <from>
                <xdr:col>2</xdr:col>
                <xdr:colOff>285750</xdr:colOff>
                <xdr:row>8</xdr:row>
                <xdr:rowOff>171450</xdr:rowOff>
              </from>
              <to>
                <xdr:col>6</xdr:col>
                <xdr:colOff>28575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8" name="Button 9">
          <controlPr defaultSize="0" print="0" autoFill="0" autoPict="0" macro="[0]!Botón9_Haga_clic_en">
            <anchor moveWithCells="1" sizeWithCells="1">
              <from>
                <xdr:col>16</xdr:col>
                <xdr:colOff>342900</xdr:colOff>
                <xdr:row>24</xdr:row>
                <xdr:rowOff>47625</xdr:rowOff>
              </from>
              <to>
                <xdr:col>17</xdr:col>
                <xdr:colOff>542925</xdr:colOff>
                <xdr:row>25</xdr:row>
                <xdr:rowOff>161925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F7"/>
  <sheetViews>
    <sheetView showGridLines="0" zoomScale="120" zoomScaleNormal="120" workbookViewId="0">
      <selection activeCell="D11" sqref="D11"/>
    </sheetView>
  </sheetViews>
  <sheetFormatPr baseColWidth="10" defaultRowHeight="15" x14ac:dyDescent="0.25"/>
  <sheetData>
    <row r="2" spans="2:6" ht="15.75" thickBot="1" x14ac:dyDescent="0.3"/>
    <row r="3" spans="2:6" ht="15.75" thickBot="1" x14ac:dyDescent="0.3">
      <c r="B3" s="7" t="s">
        <v>4</v>
      </c>
      <c r="C3" s="8"/>
      <c r="D3" s="1"/>
      <c r="E3" s="9" t="s">
        <v>5</v>
      </c>
      <c r="F3" s="10"/>
    </row>
    <row r="4" spans="2:6" ht="15.75" thickBot="1" x14ac:dyDescent="0.3">
      <c r="B4" s="2" t="s">
        <v>11</v>
      </c>
      <c r="C4" s="6">
        <f>'Tablero de juego'!P4</f>
        <v>0</v>
      </c>
      <c r="D4" s="1"/>
      <c r="E4" s="3" t="s">
        <v>11</v>
      </c>
      <c r="F4" s="6">
        <f>'Tablero de juego'!R4</f>
        <v>0</v>
      </c>
    </row>
    <row r="5" spans="2:6" ht="15.75" thickBot="1" x14ac:dyDescent="0.3">
      <c r="B5" s="1"/>
      <c r="C5" s="1"/>
      <c r="D5" s="1"/>
      <c r="E5" s="1"/>
      <c r="F5" s="1"/>
    </row>
    <row r="6" spans="2:6" ht="15.75" thickBot="1" x14ac:dyDescent="0.3">
      <c r="B6" s="11" t="s">
        <v>6</v>
      </c>
      <c r="C6" s="12"/>
      <c r="D6" s="1"/>
      <c r="E6" s="13" t="s">
        <v>7</v>
      </c>
      <c r="F6" s="14"/>
    </row>
    <row r="7" spans="2:6" ht="15.75" thickBot="1" x14ac:dyDescent="0.3">
      <c r="B7" s="4" t="s">
        <v>11</v>
      </c>
      <c r="C7" s="6">
        <f>'Tablero de juego'!T4</f>
        <v>0</v>
      </c>
      <c r="D7" s="1"/>
      <c r="E7" s="5" t="s">
        <v>11</v>
      </c>
      <c r="F7" s="6">
        <f>'Tablero de juego'!V4</f>
        <v>0</v>
      </c>
    </row>
  </sheetData>
  <sheetProtection sheet="1" objects="1" scenarios="1"/>
  <mergeCells count="4">
    <mergeCell ref="B3:C3"/>
    <mergeCell ref="E3:F3"/>
    <mergeCell ref="B6:C6"/>
    <mergeCell ref="E6:F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Tablero de juego</vt:lpstr>
      <vt:lpstr>Resultado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Juan Jose Ospina Carvajal</cp:lastModifiedBy>
  <cp:lastPrinted>2016-10-19T19:49:55Z</cp:lastPrinted>
  <dcterms:created xsi:type="dcterms:W3CDTF">2016-10-19T19:38:35Z</dcterms:created>
  <dcterms:modified xsi:type="dcterms:W3CDTF">2017-11-09T16:12:42Z</dcterms:modified>
</cp:coreProperties>
</file>